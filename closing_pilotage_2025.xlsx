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ynthese" sheetId="1" state="visible" r:id="rId1"/>
    <sheet xmlns:r="http://schemas.openxmlformats.org/officeDocument/2006/relationships" name="1_Triangle" sheetId="2" state="visible" r:id="rId2"/>
    <sheet xmlns:r="http://schemas.openxmlformats.org/officeDocument/2006/relationships" name="2_Provisionnement" sheetId="3" state="visible" r:id="rId3"/>
    <sheet xmlns:r="http://schemas.openxmlformats.org/officeDocument/2006/relationships" name="3_LAT_IFRS4" sheetId="4" state="visible" r:id="rId4"/>
    <sheet xmlns:r="http://schemas.openxmlformats.org/officeDocument/2006/relationships" name="4_Boni_Mali" sheetId="5" state="visible" r:id="rId5"/>
    <sheet xmlns:r="http://schemas.openxmlformats.org/officeDocument/2006/relationships" name="5_Compte_Technique" sheetId="6" state="visible" r:id="rId6"/>
    <sheet xmlns:r="http://schemas.openxmlformats.org/officeDocument/2006/relationships" name="6_Cont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(#,##0) &quot;€&quot;;&quot;-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0F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164" fontId="4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164" fontId="3" fillId="0" borderId="1" pivotButton="0" quotePrefix="0" xfId="0"/>
    <xf numFmtId="0" fontId="2" fillId="3" borderId="0" pivotButton="0" quotePrefix="0" xfId="0"/>
    <xf numFmtId="164" fontId="2" fillId="3" borderId="0" pivotButton="0" quotePrefix="0" xfId="0"/>
    <xf numFmtId="0" fontId="3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8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4" fillId="4" borderId="1" pivotButton="0" quotePrefix="0" xfId="0"/>
    <xf numFmtId="164" fontId="0" fillId="0" borderId="1" pivotButton="0" quotePrefix="0" xfId="0"/>
    <xf numFmtId="164" fontId="2" fillId="3" borderId="1" pivotButton="0" quotePrefix="0" xfId="0"/>
    <xf numFmtId="165" fontId="3" fillId="0" borderId="1" pivotButton="0" quotePrefix="0" xfId="0"/>
    <xf numFmtId="165" fontId="4" fillId="7" borderId="1" pivotButton="0" quotePrefix="0" xfId="0"/>
    <xf numFmtId="165" fontId="4" fillId="8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24" customHeight="1">
      <c r="A1" s="1" t="inlineStr">
        <is>
          <t>PILOTAGE DU CLOSING — SYNTHESE (exercice 2025)</t>
        </is>
      </c>
    </row>
    <row r="3">
      <c r="A3" s="2" t="inlineStr">
        <is>
          <t>Indicateur clé</t>
        </is>
      </c>
      <c r="B3" s="2" t="inlineStr">
        <is>
          <t>Valeur</t>
        </is>
      </c>
    </row>
    <row r="4">
      <c r="A4" s="3" t="inlineStr">
        <is>
          <t>Primes acquises (€)</t>
        </is>
      </c>
      <c r="B4" s="4">
        <f>'5_Compte_Technique'!E5</f>
        <v/>
      </c>
    </row>
    <row r="5">
      <c r="A5" s="5" t="inlineStr">
        <is>
          <t>Charge sinistres courant (€)</t>
        </is>
      </c>
      <c r="B5" s="4">
        <f>'5_Compte_Technique'!E6</f>
        <v/>
      </c>
    </row>
    <row r="6">
      <c r="A6" s="3" t="inlineStr">
        <is>
          <t>Boni-mali exercices antérieurs (€)</t>
        </is>
      </c>
      <c r="B6" s="4">
        <f>'5_Compte_Technique'!E7</f>
        <v/>
      </c>
    </row>
    <row r="7">
      <c r="A7" s="5" t="inlineStr">
        <is>
          <t>Résultat technique net (€)</t>
        </is>
      </c>
      <c r="B7" s="4">
        <f>'5_Compte_Technique'!E13</f>
        <v/>
      </c>
    </row>
    <row r="8">
      <c r="A8" s="3" t="inlineStr">
        <is>
          <t>Ratio S/P comptable</t>
        </is>
      </c>
      <c r="B8" s="6">
        <f>'5_Compte_Technique'!E16</f>
        <v/>
      </c>
    </row>
    <row r="9">
      <c r="A9" s="5" t="inlineStr">
        <is>
          <t>Ratio combiné</t>
        </is>
      </c>
      <c r="B9" s="6">
        <f>'5_Compte_Technique'!E18</f>
        <v/>
      </c>
    </row>
    <row r="10">
      <c r="A10" s="3" t="inlineStr">
        <is>
          <t>PSAP - sinistres à payer (€)</t>
        </is>
      </c>
      <c r="B10" s="4">
        <f>SUM('2_Provisionnement'!F4:F8)</f>
        <v/>
      </c>
    </row>
    <row r="11">
      <c r="A11" s="5" t="inlineStr">
        <is>
          <t>UPR - primes non acquises (€)</t>
        </is>
      </c>
      <c r="B11" s="4">
        <f>'3_LAT_IFRS4'!B6</f>
        <v/>
      </c>
    </row>
    <row r="12">
      <c r="A12" s="3" t="inlineStr">
        <is>
          <t>URR - risque en cours (€)</t>
        </is>
      </c>
      <c r="B12" s="4">
        <f>'3_LAT_IFRS4'!F6</f>
        <v/>
      </c>
    </row>
    <row r="14">
      <c r="A14" s="7" t="inlineStr">
        <is>
          <t>STATUT DES CONTRÔLES</t>
        </is>
      </c>
    </row>
    <row r="15">
      <c r="A15" t="inlineStr">
        <is>
          <t>Nombre de contrôles</t>
        </is>
      </c>
      <c r="B15" s="7">
        <f>COUNTA('6_Controles'!A5:A20)</f>
        <v/>
      </c>
    </row>
    <row r="16">
      <c r="A16" t="inlineStr">
        <is>
          <t>Alertes</t>
        </is>
      </c>
      <c r="B16" s="8">
        <f>COUNTIF('6_Controles'!B5:B20,"ALERTE")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TRIANGLE DES PAIEMENTS CUMULES (€)</t>
        </is>
      </c>
    </row>
    <row r="3">
      <c r="A3" s="2" t="inlineStr">
        <is>
          <t>Année survenance</t>
        </is>
      </c>
      <c r="B3" s="2" t="inlineStr">
        <is>
          <t>Dev 0</t>
        </is>
      </c>
      <c r="C3" s="2" t="inlineStr">
        <is>
          <t>Dev 1</t>
        </is>
      </c>
      <c r="D3" s="2" t="inlineStr">
        <is>
          <t>Dev 2</t>
        </is>
      </c>
      <c r="E3" s="2" t="inlineStr">
        <is>
          <t>Dev 3</t>
        </is>
      </c>
      <c r="F3" s="2" t="inlineStr">
        <is>
          <t>Dev 4</t>
        </is>
      </c>
    </row>
    <row r="4">
      <c r="A4" s="9" t="n">
        <v>2021</v>
      </c>
      <c r="B4" s="10" t="n">
        <v>1313362.32</v>
      </c>
      <c r="C4" s="10" t="n">
        <v>2116425.31</v>
      </c>
      <c r="D4" s="10" t="n">
        <v>2607474.28</v>
      </c>
      <c r="E4" s="10" t="n">
        <v>2940775.89</v>
      </c>
      <c r="F4" s="10" t="n">
        <v>3106128.47</v>
      </c>
    </row>
    <row r="5">
      <c r="A5" s="9" t="n">
        <v>2022</v>
      </c>
      <c r="B5" s="10" t="n">
        <v>1261644.22</v>
      </c>
      <c r="C5" s="10" t="n">
        <v>1909984.84</v>
      </c>
      <c r="D5" s="10" t="n">
        <v>2263032.23</v>
      </c>
      <c r="E5" s="10" t="n">
        <v>2490305.68</v>
      </c>
      <c r="F5" s="5" t="n"/>
    </row>
    <row r="6">
      <c r="A6" s="9" t="n">
        <v>2023</v>
      </c>
      <c r="B6" s="10" t="n">
        <v>1788967.5</v>
      </c>
      <c r="C6" s="10" t="n">
        <v>3097630.78</v>
      </c>
      <c r="D6" s="10" t="n">
        <v>3942666.87</v>
      </c>
      <c r="E6" s="5" t="n"/>
      <c r="F6" s="5" t="n"/>
    </row>
    <row r="7">
      <c r="A7" s="9" t="n">
        <v>2024</v>
      </c>
      <c r="B7" s="10" t="n">
        <v>1640323.74</v>
      </c>
      <c r="C7" s="10" t="n">
        <v>2589146.86</v>
      </c>
      <c r="D7" s="5" t="n"/>
      <c r="E7" s="5" t="n"/>
      <c r="F7" s="5" t="n"/>
    </row>
    <row r="8">
      <c r="A8" s="9" t="n">
        <v>2025</v>
      </c>
      <c r="B8" s="10" t="n">
        <v>1640334.52</v>
      </c>
      <c r="C8" s="5" t="n"/>
      <c r="D8" s="5" t="n"/>
      <c r="E8" s="5" t="n"/>
      <c r="F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PROVISIONNEMENT — ULTIMATE PAR METHODE</t>
        </is>
      </c>
    </row>
    <row r="3">
      <c r="A3" s="2" t="inlineStr">
        <is>
          <t>Année</t>
        </is>
      </c>
      <c r="B3" s="2" t="inlineStr">
        <is>
          <t>Ultimate vrai</t>
        </is>
      </c>
      <c r="C3" s="2" t="inlineStr">
        <is>
          <t>Chain-Ladder</t>
        </is>
      </c>
      <c r="D3" s="2" t="inlineStr">
        <is>
          <t>CL + queue</t>
        </is>
      </c>
      <c r="E3" s="2" t="inlineStr">
        <is>
          <t>BF</t>
        </is>
      </c>
      <c r="F3" s="2" t="inlineStr">
        <is>
          <t>IBNR (BF)</t>
        </is>
      </c>
    </row>
    <row r="4">
      <c r="A4" s="9" t="n">
        <v>2021</v>
      </c>
      <c r="B4" s="10" t="n">
        <v>3361653.82</v>
      </c>
      <c r="C4" s="10" t="n">
        <v>3106128.47</v>
      </c>
      <c r="D4" s="10" t="n">
        <v>3232558.516380473</v>
      </c>
      <c r="E4" s="10" t="n">
        <v>3243580.507839352</v>
      </c>
      <c r="F4" s="10" t="n">
        <v>137452.0378393517</v>
      </c>
    </row>
    <row r="5">
      <c r="A5" s="9" t="n">
        <v>2022</v>
      </c>
      <c r="B5" s="10" t="n">
        <v>2767419.7</v>
      </c>
      <c r="C5" s="10" t="n">
        <v>2630329.430390804</v>
      </c>
      <c r="D5" s="10" t="n">
        <v>2737392.829439535</v>
      </c>
      <c r="E5" s="10" t="n">
        <v>2827913.397228043</v>
      </c>
      <c r="F5" s="10" t="n">
        <v>337607.7172280429</v>
      </c>
    </row>
    <row r="6">
      <c r="A6" s="9" t="n">
        <v>2023</v>
      </c>
      <c r="B6" s="10" t="n">
        <v>5378177.12</v>
      </c>
      <c r="C6" s="10" t="n">
        <v>4643653.071520192</v>
      </c>
      <c r="D6" s="10" t="n">
        <v>4832665.624889282</v>
      </c>
      <c r="E6" s="10" t="n">
        <v>4664055.878227081</v>
      </c>
      <c r="F6" s="10" t="n">
        <v>721389.008227081</v>
      </c>
    </row>
    <row r="7">
      <c r="A7" s="9" t="n">
        <v>2024</v>
      </c>
      <c r="B7" s="10" t="n">
        <v>3965069.31</v>
      </c>
      <c r="C7" s="10" t="n">
        <v>3772526.294199</v>
      </c>
      <c r="D7" s="10" t="n">
        <v>3926081.00996616</v>
      </c>
      <c r="E7" s="10" t="n">
        <v>3994176.283835949</v>
      </c>
      <c r="F7" s="10" t="n">
        <v>1405029.423835949</v>
      </c>
    </row>
    <row r="8">
      <c r="A8" s="9" t="n">
        <v>2025</v>
      </c>
      <c r="B8" s="10" t="n">
        <v>3859891.09</v>
      </c>
      <c r="C8" s="10" t="n">
        <v>3866407.081601914</v>
      </c>
      <c r="D8" s="10" t="n">
        <v>4023783.066328237</v>
      </c>
      <c r="E8" s="10" t="n">
        <v>4210921.932789534</v>
      </c>
      <c r="F8" s="10" t="n">
        <v>2570587.412789534</v>
      </c>
    </row>
    <row r="9">
      <c r="A9" s="11" t="inlineStr">
        <is>
          <t>TOTAL</t>
        </is>
      </c>
      <c r="B9" s="12">
        <f>SUM(B4:B8)</f>
        <v/>
      </c>
      <c r="C9" s="12">
        <f>SUM(C4:C8)</f>
        <v/>
      </c>
      <c r="D9" s="12">
        <f>SUM(D4:D8)</f>
        <v/>
      </c>
      <c r="E9" s="12">
        <f>SUM(E4:E8)</f>
        <v/>
      </c>
      <c r="F9" s="12">
        <f>SUM(F4:F8)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LIABILITY ADEQUACY TEST (IFRS 4)</t>
        </is>
      </c>
    </row>
    <row r="3">
      <c r="A3" s="2" t="inlineStr">
        <is>
          <t>Segment</t>
        </is>
      </c>
      <c r="B3" s="2" t="inlineStr">
        <is>
          <t>UPR brut</t>
        </is>
      </c>
      <c r="C3" s="2" t="inlineStr">
        <is>
          <t>DAC</t>
        </is>
      </c>
      <c r="D3" s="2" t="inlineStr">
        <is>
          <t>UPR net</t>
        </is>
      </c>
      <c r="E3" s="2" t="inlineStr">
        <is>
          <t>Best Estimate</t>
        </is>
      </c>
      <c r="F3" s="2" t="inlineStr">
        <is>
          <t>URR</t>
        </is>
      </c>
      <c r="G3" s="2" t="inlineStr">
        <is>
          <t>Test</t>
        </is>
      </c>
    </row>
    <row r="4">
      <c r="A4" s="13" t="inlineStr">
        <is>
          <t>FLOTTE</t>
        </is>
      </c>
      <c r="B4" s="10" t="n">
        <v>1519278.92</v>
      </c>
      <c r="C4" s="10" t="n">
        <v>227891.838</v>
      </c>
      <c r="D4" s="10">
        <f>B4-C4</f>
        <v/>
      </c>
      <c r="E4" s="10" t="n">
        <v>868092.067052395</v>
      </c>
      <c r="F4" s="10">
        <f>MAX(E4-D4,0)</f>
        <v/>
      </c>
      <c r="G4" s="14">
        <f>IF(F4&gt;0,"DEFICIENCY","OK")</f>
        <v/>
      </c>
    </row>
    <row r="5">
      <c r="A5" s="13" t="inlineStr">
        <is>
          <t>PART</t>
        </is>
      </c>
      <c r="B5" s="10" t="n">
        <v>2083267.060833333</v>
      </c>
      <c r="C5" s="10" t="n">
        <v>312490.059125</v>
      </c>
      <c r="D5" s="10">
        <f>B5-C5</f>
        <v/>
      </c>
      <c r="E5" s="10" t="n">
        <v>1863572.12980362</v>
      </c>
      <c r="F5" s="10">
        <f>MAX(E5-D5,0)</f>
        <v/>
      </c>
      <c r="G5" s="15">
        <f>IF(F5&gt;0,"DEFICIENCY","OK")</f>
        <v/>
      </c>
    </row>
    <row r="6">
      <c r="A6" s="11" t="inlineStr">
        <is>
          <t>TOTAL</t>
        </is>
      </c>
      <c r="B6" s="12">
        <f>SUM(B4:B5)</f>
        <v/>
      </c>
      <c r="C6" s="12">
        <f>SUM(C4:C5)</f>
        <v/>
      </c>
      <c r="D6" s="12">
        <f>SUM(D4:D5)</f>
        <v/>
      </c>
      <c r="E6" s="12">
        <f>SUM(E4:E5)</f>
        <v/>
      </c>
      <c r="F6" s="12">
        <f>SUM(F4:F5)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ANALYSE BONI-MALI (run-off 2024 -&gt; 2025)</t>
        </is>
      </c>
    </row>
    <row r="3">
      <c r="A3" s="7" t="inlineStr">
        <is>
          <t>Par année de survenance</t>
        </is>
      </c>
    </row>
    <row r="4">
      <c r="A4" s="2" t="inlineStr">
        <is>
          <t>Année</t>
        </is>
      </c>
      <c r="B4" s="2" t="inlineStr">
        <is>
          <t>Ultimate 2024</t>
        </is>
      </c>
      <c r="C4" s="2" t="inlineStr">
        <is>
          <t>Ultimate 2025</t>
        </is>
      </c>
      <c r="D4" s="2" t="inlineStr">
        <is>
          <t>Boni-mali</t>
        </is>
      </c>
    </row>
    <row r="5">
      <c r="A5" s="13" t="n">
        <v>2021</v>
      </c>
      <c r="B5" s="10" t="n">
        <v>2940775.89</v>
      </c>
      <c r="C5" s="10" t="n">
        <v>3106128.47</v>
      </c>
      <c r="D5" s="16">
        <f>B5-C5</f>
        <v/>
      </c>
    </row>
    <row r="6">
      <c r="A6" s="13" t="n">
        <v>2022</v>
      </c>
      <c r="B6" s="10" t="n">
        <v>2552305.375099207</v>
      </c>
      <c r="C6" s="10" t="n">
        <v>2630329.430390804</v>
      </c>
      <c r="D6" s="16">
        <f>B6-C6</f>
        <v/>
      </c>
    </row>
    <row r="7">
      <c r="A7" s="13" t="n">
        <v>2023</v>
      </c>
      <c r="B7" s="10" t="n">
        <v>4225982.195036102</v>
      </c>
      <c r="C7" s="10" t="n">
        <v>4643653.071520192</v>
      </c>
      <c r="D7" s="16">
        <f>B7-C7</f>
        <v/>
      </c>
    </row>
    <row r="8">
      <c r="A8" s="13" t="n">
        <v>2024</v>
      </c>
      <c r="B8" s="10" t="n">
        <v>3653186.379684901</v>
      </c>
      <c r="C8" s="10" t="n">
        <v>3772526.294199</v>
      </c>
      <c r="D8" s="16">
        <f>B8-C8</f>
        <v/>
      </c>
    </row>
    <row r="9">
      <c r="A9" s="11" t="inlineStr">
        <is>
          <t>TOTAL</t>
        </is>
      </c>
      <c r="B9" s="12">
        <f>SUM(B5:B8)</f>
        <v/>
      </c>
      <c r="C9" s="12">
        <f>SUM(C5:C8)</f>
        <v/>
      </c>
      <c r="D9" s="12">
        <f>SUM(D5:D8)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3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" t="inlineStr">
        <is>
          <t>COMPTE TECHNIQUE NON-VIE (exercice 2025)</t>
        </is>
      </c>
    </row>
    <row r="3">
      <c r="A3" s="17" t="inlineStr">
        <is>
          <t>Poste</t>
        </is>
      </c>
      <c r="B3" s="18" t="inlineStr"/>
      <c r="C3" s="2" t="inlineStr">
        <is>
          <t>FLOTTE</t>
        </is>
      </c>
      <c r="D3" s="2" t="inlineStr">
        <is>
          <t>PART</t>
        </is>
      </c>
      <c r="E3" s="2" t="inlineStr">
        <is>
          <t>TOTAL</t>
        </is>
      </c>
    </row>
    <row r="4">
      <c r="A4" s="19" t="n"/>
      <c r="B4" s="19" t="n"/>
      <c r="C4" s="19" t="n"/>
      <c r="D4" s="19" t="n"/>
      <c r="E4" s="19" t="n"/>
    </row>
    <row r="5">
      <c r="A5" s="5" t="inlineStr">
        <is>
          <t>(+) Primes acquises</t>
        </is>
      </c>
      <c r="B5" s="19" t="n"/>
      <c r="C5" s="10" t="n">
        <v>3031733</v>
      </c>
      <c r="D5" s="10" t="n">
        <v>4201124.42</v>
      </c>
      <c r="E5" s="4">
        <f>C5+D5</f>
        <v/>
      </c>
    </row>
    <row r="6">
      <c r="A6" s="5" t="inlineStr">
        <is>
          <t>(-) Charge sinistres courant</t>
        </is>
      </c>
      <c r="B6" s="19" t="n"/>
      <c r="C6" s="10" t="n">
        <v>1301548.997863243</v>
      </c>
      <c r="D6" s="10" t="n">
        <v>2909372.934926291</v>
      </c>
      <c r="E6" s="4">
        <f>C6+D6</f>
        <v/>
      </c>
    </row>
    <row r="7">
      <c r="A7" s="5" t="inlineStr">
        <is>
          <t>(+/-) Boni-mali antérieurs</t>
        </is>
      </c>
      <c r="B7" s="19" t="n"/>
      <c r="C7" s="10" t="n">
        <v>-280939.905302383</v>
      </c>
      <c r="D7" s="10" t="n">
        <v>-502763.0752353338</v>
      </c>
      <c r="E7" s="4">
        <f>C7+D7</f>
        <v/>
      </c>
    </row>
    <row r="8">
      <c r="A8" s="5" t="inlineStr">
        <is>
          <t>(-) Frais d'acquisition</t>
        </is>
      </c>
      <c r="B8" s="19" t="n"/>
      <c r="C8" s="10" t="n">
        <v>454759.95</v>
      </c>
      <c r="D8" s="10" t="n">
        <v>630168.6629999999</v>
      </c>
      <c r="E8" s="4">
        <f>C8+D8</f>
        <v/>
      </c>
    </row>
    <row r="9">
      <c r="A9" s="5" t="inlineStr">
        <is>
          <t>(-) Frais de gestion</t>
        </is>
      </c>
      <c r="B9" s="19" t="n"/>
      <c r="C9" s="10" t="n">
        <v>363807.96</v>
      </c>
      <c r="D9" s="10" t="n">
        <v>504134.9304</v>
      </c>
      <c r="E9" s="4">
        <f>C9+D9</f>
        <v/>
      </c>
    </row>
    <row r="10">
      <c r="A10" s="20" t="inlineStr">
        <is>
          <t>(=) Résultat technique BRUT</t>
        </is>
      </c>
      <c r="B10" s="19" t="n"/>
      <c r="C10" s="21">
        <f>C5-C6+C7-C8-C9</f>
        <v/>
      </c>
      <c r="D10" s="21">
        <f>D5-D6+D7-D8-D9</f>
        <v/>
      </c>
      <c r="E10" s="21">
        <f>E5-E6+E7-E8-E9</f>
        <v/>
      </c>
    </row>
    <row r="11">
      <c r="A11" s="5" t="inlineStr">
        <is>
          <t>(-) Prime réass. cédée</t>
        </is>
      </c>
      <c r="B11" s="19" t="n"/>
      <c r="C11" s="22" t="n">
        <v>66818.9905</v>
      </c>
      <c r="D11" s="22" t="n">
        <v>178370.8305</v>
      </c>
      <c r="E11" s="22">
        <f>C11+D11</f>
        <v/>
      </c>
    </row>
    <row r="12">
      <c r="A12" s="5" t="inlineStr">
        <is>
          <t>(+) Récupérations réass.</t>
        </is>
      </c>
      <c r="B12" s="19" t="n"/>
      <c r="C12" s="22" t="n">
        <v>58103.47</v>
      </c>
      <c r="D12" s="22" t="n">
        <v>155105.07</v>
      </c>
      <c r="E12" s="22">
        <f>C12+D12</f>
        <v/>
      </c>
    </row>
    <row r="13">
      <c r="A13" s="17" t="inlineStr">
        <is>
          <t>(=) Résultat technique NET</t>
        </is>
      </c>
      <c r="B13" s="19" t="n"/>
      <c r="C13" s="23">
        <f>C10-C11+C12</f>
        <v/>
      </c>
      <c r="D13" s="23">
        <f>D10-D11+D12</f>
        <v/>
      </c>
      <c r="E13" s="23">
        <f>E10-E11+E12</f>
        <v/>
      </c>
    </row>
    <row r="14">
      <c r="A14" s="19" t="n"/>
      <c r="B14" s="19" t="n"/>
      <c r="C14" s="19" t="n"/>
      <c r="D14" s="19" t="n"/>
      <c r="E14" s="19" t="n"/>
    </row>
    <row r="15">
      <c r="A15" s="20" t="inlineStr">
        <is>
          <t>RATIOS DE PILOTAGE</t>
        </is>
      </c>
      <c r="B15" s="19" t="n"/>
      <c r="C15" s="19" t="n"/>
      <c r="D15" s="19" t="n"/>
      <c r="E15" s="19" t="n"/>
    </row>
    <row r="16">
      <c r="A16" s="5" t="inlineStr">
        <is>
          <t>S/P comptable</t>
        </is>
      </c>
      <c r="B16" s="19" t="n"/>
      <c r="C16" s="24">
        <f>(C6-C7)/C5</f>
        <v/>
      </c>
      <c r="D16" s="24">
        <f>(D6-D7)/D5</f>
        <v/>
      </c>
      <c r="E16" s="24">
        <f>(E6-E7)/E5</f>
        <v/>
      </c>
    </row>
    <row r="17">
      <c r="A17" s="5" t="inlineStr">
        <is>
          <t>Ratio de frais</t>
        </is>
      </c>
      <c r="B17" s="19" t="n"/>
      <c r="C17" s="24">
        <f>(C8+C9)/C5</f>
        <v/>
      </c>
      <c r="D17" s="24">
        <f>(D8+D9)/D5</f>
        <v/>
      </c>
      <c r="E17" s="24">
        <f>(E8+E9)/E5</f>
        <v/>
      </c>
    </row>
    <row r="18">
      <c r="A18" s="20" t="inlineStr">
        <is>
          <t>RATIO COMBINE</t>
        </is>
      </c>
      <c r="B18" s="19" t="n"/>
      <c r="C18" s="25">
        <f>C16+C17</f>
        <v/>
      </c>
      <c r="D18" s="26">
        <f>D16+D17</f>
        <v/>
      </c>
      <c r="E18" s="25">
        <f>E16+E17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60" customWidth="1" min="3" max="3"/>
  </cols>
  <sheetData>
    <row r="1" ht="24" customHeight="1">
      <c r="A1" s="1" t="inlineStr">
        <is>
          <t>JOURNAL DES CONTROLES DE COHERENCE</t>
        </is>
      </c>
    </row>
    <row r="4">
      <c r="A4" s="2" t="inlineStr">
        <is>
          <t>Contrôle</t>
        </is>
      </c>
      <c r="B4" s="2" t="inlineStr">
        <is>
          <t>Statut</t>
        </is>
      </c>
      <c r="C4" s="2" t="inlineStr">
        <is>
          <t>Détail</t>
        </is>
      </c>
    </row>
    <row r="5">
      <c r="A5" s="5" t="inlineStr">
        <is>
          <t>C1 - IBNR positif sur toutes les cohortes</t>
        </is>
      </c>
      <c r="B5" s="27" t="inlineStr">
        <is>
          <t>OK</t>
        </is>
      </c>
      <c r="C5" s="5" t="inlineStr">
        <is>
          <t>IBNR minimum = 137 452 EUR</t>
        </is>
      </c>
    </row>
    <row r="6">
      <c r="A6" s="5" t="inlineStr">
        <is>
          <t>C2 - Reconciliation boni-mali (global vs segments)</t>
        </is>
      </c>
      <c r="B6" s="27" t="inlineStr">
        <is>
          <t>OK</t>
        </is>
      </c>
      <c r="C6" s="5" t="inlineStr">
        <is>
          <t>Global -780 387 vs segments -783 703 EUR -&gt; ecart 0.42% (seuil 1%)</t>
        </is>
      </c>
    </row>
    <row r="7">
      <c r="A7" s="5" t="inlineStr">
        <is>
          <t>C3 - Aucun mali significatif par cohorte</t>
        </is>
      </c>
      <c r="B7" s="28" t="inlineStr">
        <is>
          <t>ALERTE</t>
        </is>
      </c>
      <c r="C7" s="5" t="inlineStr">
        <is>
          <t>2 cohorte(s) avec mali &gt; 5% : [2021, 2023]</t>
        </is>
      </c>
    </row>
    <row r="8">
      <c r="A8" s="5" t="inlineStr">
        <is>
          <t>C4 - Aucun segment en premium deficiency (LAT)</t>
        </is>
      </c>
      <c r="B8" s="28" t="inlineStr">
        <is>
          <t>ALERTE</t>
        </is>
      </c>
      <c r="C8" s="5" t="inlineStr">
        <is>
          <t>1 segment(s) deficient(s) : [np.str_('PART')]</t>
        </is>
      </c>
    </row>
    <row r="9">
      <c r="A9" s="5" t="inlineStr">
        <is>
          <t>C5 - Ratio combine global rentable</t>
        </is>
      </c>
      <c r="B9" s="27" t="inlineStr">
        <is>
          <t>OK</t>
        </is>
      </c>
      <c r="C9" s="5" t="inlineStr">
        <is>
          <t>Ratio combine = 96.1% (seuil 100%)</t>
        </is>
      </c>
    </row>
    <row r="10">
      <c r="A10" s="5" t="inlineStr">
        <is>
          <t>C6 - Aucun segment en perte technique</t>
        </is>
      </c>
      <c r="B10" s="28" t="inlineStr">
        <is>
          <t>ALERTE</t>
        </is>
      </c>
      <c r="C10" s="5" t="inlineStr">
        <is>
          <t>1 segment(s) en perte : [np.str_('PART')]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2026-05-31T22:01:52Z</dcterms:created>
  <dcterms:modified xmlns:dcterms="http://purl.org/dc/terms/" xmlns:xsi="http://www.w3.org/2001/XMLSchema-instance" xsi:type="dcterms:W3CDTF">2026-05-31T22:01:52Z</dcterms:modified>
</cp:coreProperties>
</file>